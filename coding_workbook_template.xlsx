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icipants" sheetId="2" state="visible" r:id="rId4"/>
    <sheet name="TaskLog" sheetId="3" state="visible" r:id="rId5"/>
    <sheet name="Comprehension" sheetId="4" state="visible" r:id="rId6"/>
    <sheet name="Interpretation" sheetId="5" state="visible" r:id="rId7"/>
    <sheet name="Trust" sheetId="6" state="visible" r:id="rId8"/>
    <sheet name="SUS" sheetId="7" state="visible" r:id="rId9"/>
    <sheet name="Observations" sheetId="8" state="visible" r:id="rId10"/>
    <sheet name="Issues" sheetId="9" state="visible" r:id="rId11"/>
    <sheet name="Wager_unlinked" sheetId="10" state="visible" r:id="rId12"/>
    <sheet name="Codebook" sheetId="11" state="visible" r:id="rId13"/>
    <sheet name="Severit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<sst xmlns="http://schemas.openxmlformats.org/spreadsheetml/2006/main" count="243" uniqueCount="187">
  <si>
    <t xml:space="preserve">Coding workbook: Can fencers read their own ratings? (FencingStatsNZ user study)</t>
  </si>
  <si>
    <t xml:space="preserve">Version 1.0, 2026-09-23. Companion to CODEBOOK.md and the protocol. One workbook for the whole study.</t>
  </si>
  <si>
    <t xml:space="preserve">Sheets</t>
  </si>
  <si>
    <t xml:space="preserve">Participants</t>
  </si>
  <si>
    <t xml:space="preserve">One row per session. Descriptors, session conditions, protocol deviations.</t>
  </si>
  <si>
    <t xml:space="preserve">TaskLog</t>
  </si>
  <si>
    <t xml:space="preserve">One row per task episode. Success, hint, SEQ, deciding criterion. Duration is a formula.</t>
  </si>
  <si>
    <t xml:space="preserve">Comprehension</t>
  </si>
  <si>
    <t xml:space="preserve">C1 to C3 (0 to 2 each, total is a formula) plus T7 Q1/Q2 scored separately.</t>
  </si>
  <si>
    <t xml:space="preserve">Interpretation</t>
  </si>
  <si>
    <t xml:space="preserve">RQ1 rating-interpretation codes for intro Q5, T1 unprompted, debrief Q1.</t>
  </si>
  <si>
    <t xml:space="preserve">Trust</t>
  </si>
  <si>
    <t xml:space="preserve">T7 before/after (direction is a formula) with reasoning.</t>
  </si>
  <si>
    <t xml:space="preserve">SUS</t>
  </si>
  <si>
    <t xml:space="preserve">10 item responses; score is a formula (blank until all 10 are entered).</t>
  </si>
  <si>
    <t xml:space="preserve">Observations</t>
  </si>
  <si>
    <t xml:space="preserve">One row per code. The long table everything else is built from.</t>
  </si>
  <si>
    <t xml:space="preserve">Issues</t>
  </si>
  <si>
    <t xml:space="preserve">Consolidated after the last session. n and severity are formulas from the participant list and impact letter.</t>
  </si>
  <si>
    <t xml:space="preserve">Wager_unlinked</t>
  </si>
  <si>
    <t xml:space="preserve">T5 wager answers with no participant code, per protocol section 4/7.</t>
  </si>
  <si>
    <t xml:space="preserve">Codebook</t>
  </si>
  <si>
    <t xml:space="preserve">Code list with a live count of how often each code has been used.</t>
  </si>
  <si>
    <t xml:space="preserve">Severity</t>
  </si>
  <si>
    <t xml:space="preserve">The 0 to 4 rule, fixed before data collection.</t>
  </si>
  <si>
    <t xml:space="preserve">Empty template for the repo. Row 2 of each sheet holds the formulas; fill down as you add rows.</t>
  </si>
  <si>
    <t xml:space="preserve">Times are entered as h:mm:ss from the start of the recording (e.g. 0:06:06).</t>
  </si>
  <si>
    <t xml:space="preserve">P</t>
  </si>
  <si>
    <t xml:space="preserve">Session date</t>
  </si>
  <si>
    <t xml:space="preserve">Pilot?</t>
  </si>
  <si>
    <t xml:space="preserve">Competitive level</t>
  </si>
  <si>
    <t xml:space="preserve">Age category</t>
  </si>
  <si>
    <t xml:space="preserve">Weapon</t>
  </si>
  <si>
    <t xml:space="preserve">Gender</t>
  </si>
  <si>
    <t xml:space="preserve">Region</t>
  </si>
  <si>
    <t xml:space="preserve">Rating vs FeNZ</t>
  </si>
  <si>
    <t xml:space="preserve">Selector?</t>
  </si>
  <si>
    <t xml:space="preserve">Prior site use</t>
  </si>
  <si>
    <t xml:space="preserve">Device</t>
  </si>
  <si>
    <t xml:space="preserve">T3 bracket used</t>
  </si>
  <si>
    <t xml:space="preserve">T4 competition used</t>
  </si>
  <si>
    <t xml:space="preserve">Signed in at T6 start?</t>
  </si>
  <si>
    <t xml:space="preserve">Session length (min)</t>
  </si>
  <si>
    <t xml:space="preserve">Protocol deviations</t>
  </si>
  <si>
    <t xml:space="preserve">Notes</t>
  </si>
  <si>
    <t xml:space="preserve">Task</t>
  </si>
  <si>
    <t xml:space="preserve">Start</t>
  </si>
  <si>
    <t xml:space="preserve">End</t>
  </si>
  <si>
    <t xml:space="preserve">Duration (s)</t>
  </si>
  <si>
    <t xml:space="preserve">Hint (N/H1/H2)</t>
  </si>
  <si>
    <t xml:space="preserve">Success</t>
  </si>
  <si>
    <t xml:space="preserve">Deciding criterion</t>
  </si>
  <si>
    <t xml:space="preserve">SEQ (1-7)</t>
  </si>
  <si>
    <t xml:space="preserve">Condition notes</t>
  </si>
  <si>
    <t xml:space="preserve">C1 range (0-2)</t>
  </si>
  <si>
    <t xml:space="preserve">C2 line/sweep (0-2)</t>
  </si>
  <si>
    <t xml:space="preserve">C3 prediction (0-2)</t>
  </si>
  <si>
    <t xml:space="preserve">Total (0-6)</t>
  </si>
  <si>
    <t xml:space="preserve">T7 Q1 (0-2)</t>
  </si>
  <si>
    <t xml:space="preserve">T7 Q2 (0-2)</t>
  </si>
  <si>
    <t xml:space="preserve">Evidence / notes</t>
  </si>
  <si>
    <t xml:space="preserve">Intro Q5 codes</t>
  </si>
  <si>
    <t xml:space="preserve">Intro Q5 quote</t>
  </si>
  <si>
    <t xml:space="preserve">T1 unprompted codes</t>
  </si>
  <si>
    <t xml:space="preserve">T1 unprompted quote</t>
  </si>
  <si>
    <t xml:space="preserve">Debrief Q1 codes</t>
  </si>
  <si>
    <t xml:space="preserve">Debrief Q1 quote</t>
  </si>
  <si>
    <t xml:space="preserve">Note</t>
  </si>
  <si>
    <t xml:space="preserve">T7 before (1-7)</t>
  </si>
  <si>
    <t xml:space="preserve">T7 after (1-7)</t>
  </si>
  <si>
    <t xml:space="preserve">Direction</t>
  </si>
  <si>
    <t xml:space="preserve">Reasoning (quote)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</si>
  <si>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</si>
  <si>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</si>
  <si>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</si>
  <si>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</si>
  <si>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</si>
  <si>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</si>
  <si>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</si>
  <si>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</si>
  <si>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</si>
  <si>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</si>
  <si>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SUS score</t>
  </si>
  <si>
    <t xml:space="preserve">obs_id</t>
  </si>
  <si>
    <t xml:space="preserve">mm:ss</t>
  </si>
  <si>
    <t xml:space="preserve">Page / component</t>
  </si>
  <si>
    <t xml:space="preserve">Code</t>
  </si>
  <si>
    <t xml:space="preserve">Reason tag (TRUST)</t>
  </si>
  <si>
    <t xml:space="preserve">RQ</t>
  </si>
  <si>
    <t xml:space="preserve">Evidence (Said/Did)</t>
  </si>
  <si>
    <t xml:space="preserve">Quote (verbatim)</t>
  </si>
  <si>
    <t xml:space="preserve">issue_id</t>
  </si>
  <si>
    <t xml:space="preserve">Title</t>
  </si>
  <si>
    <t xml:space="preserve">Location</t>
  </si>
  <si>
    <t xml:space="preserve">Cause</t>
  </si>
  <si>
    <t xml:space="preserve">Participants (comma-separated)</t>
  </si>
  <si>
    <t xml:space="preserve">n</t>
  </si>
  <si>
    <t xml:space="preserve">Impact (A/B/C)</t>
  </si>
  <si>
    <t xml:space="preserve">Severity (0-4)</t>
  </si>
  <si>
    <t xml:space="preserve">Evidence obs_ids</t>
  </si>
  <si>
    <t xml:space="preserve">v1.1 action</t>
  </si>
  <si>
    <t xml:space="preserve">Pairing type</t>
  </si>
  <si>
    <t xml:space="preserve">Wager answer (no participant code)</t>
  </si>
  <si>
    <t xml:space="preserve">Reasoning</t>
  </si>
  <si>
    <t xml:space="preserve">Family</t>
  </si>
  <si>
    <t xml:space="preserve">Definition</t>
  </si>
  <si>
    <t xml:space="preserve">Times used (all rows incl. pilot)</t>
  </si>
  <si>
    <t xml:space="preserve">MIS-RANGE</t>
  </si>
  <si>
    <t xml:space="preserve">MIS</t>
  </si>
  <si>
    <t xml:space="preserve">Wrong reading of the uncertainty range</t>
  </si>
  <si>
    <t xml:space="preserve">1</t>
  </si>
  <si>
    <t xml:space="preserve">MIS-LOWEND</t>
  </si>
  <si>
    <t xml:space="preserve">Treats headline as exact, or misplaces it in the range</t>
  </si>
  <si>
    <t xml:space="preserve">MIS-SPLIT</t>
  </si>
  <si>
    <t xml:space="preserve">Wrong reading of the pool/DE split</t>
  </si>
  <si>
    <t xml:space="preserve">2</t>
  </si>
  <si>
    <t xml:space="preserve">MIS-AGE</t>
  </si>
  <si>
    <t xml:space="preserve">Takes All-ages ladder as the age-category list</t>
  </si>
  <si>
    <t xml:space="preserve">3</t>
  </si>
  <si>
    <t xml:space="preserve">MIS-LINE</t>
  </si>
  <si>
    <t xml:space="preserve">Wrong reading of line average</t>
  </si>
  <si>
    <t xml:space="preserve">4</t>
  </si>
  <si>
    <t xml:space="preserve">MIS-SWEEP</t>
  </si>
  <si>
    <t xml:space="preserve">Wrong reading of sweep odds</t>
  </si>
  <si>
    <t xml:space="preserve">MIS-PROB</t>
  </si>
  <si>
    <t xml:space="preserve">Wrong reading of head-to-head probabilities</t>
  </si>
  <si>
    <t xml:space="preserve">5</t>
  </si>
  <si>
    <t xml:space="preserve">MIS-CLUB</t>
  </si>
  <si>
    <t xml:space="preserve">Wrong reading of club strength</t>
  </si>
  <si>
    <t xml:space="preserve">6</t>
  </si>
  <si>
    <t xml:space="preserve">MIS-OTHER</t>
  </si>
  <si>
    <t xml:space="preserve">Other misreading; quote it</t>
  </si>
  <si>
    <t xml:space="preserve">any</t>
  </si>
  <si>
    <t xml:space="preserve">ABS-LOWEND</t>
  </si>
  <si>
    <t xml:space="preserve">ABS</t>
  </si>
  <si>
    <t xml:space="preserve">Low-end concept absent from unprompted account</t>
  </si>
  <si>
    <t xml:space="preserve">ABS-RANGE</t>
  </si>
  <si>
    <t xml:space="preserve">Range/uncertainty absent from unprompted account</t>
  </si>
  <si>
    <t xml:space="preserve">ABS-SPLIT</t>
  </si>
  <si>
    <t xml:space="preserve">Pool/DE split not consulted where designed to be</t>
  </si>
  <si>
    <t xml:space="preserve">NAV-CANTFIND</t>
  </si>
  <si>
    <t xml:space="preserve">NAV</t>
  </si>
  <si>
    <t xml:space="preserve">Cannot locate a feature</t>
  </si>
  <si>
    <t xml:space="preserve">NAV-WRONG</t>
  </si>
  <si>
    <t xml:space="preserve">Goes to wrong page or control</t>
  </si>
  <si>
    <t xml:space="preserve">NAV-HINT</t>
  </si>
  <si>
    <t xml:space="preserve">Hint given; log which</t>
  </si>
  <si>
    <t xml:space="preserve">CONF</t>
  </si>
  <si>
    <t xml:space="preserve">Expressed uncertainty; note if self-resolved</t>
  </si>
  <si>
    <t xml:space="preserve">WORK</t>
  </si>
  <si>
    <t xml:space="preserve">Workaround</t>
  </si>
  <si>
    <t xml:space="preserve">EXP</t>
  </si>
  <si>
    <t xml:space="preserve">Expectation mismatch or surprise</t>
  </si>
  <si>
    <t xml:space="preserve">TRUST-UP</t>
  </si>
  <si>
    <t xml:space="preserve">TRUST</t>
  </si>
  <si>
    <t xml:space="preserve">Statement raising trust; tag reason</t>
  </si>
  <si>
    <t xml:space="preserve">TRUST-DOWN</t>
  </si>
  <si>
    <t xml:space="preserve">Statement lowering trust; tag reason</t>
  </si>
  <si>
    <t xml:space="preserve">REQ</t>
  </si>
  <si>
    <t xml:space="preserve">Feature request or wish</t>
  </si>
  <si>
    <t xml:space="preserve">DATA</t>
  </si>
  <si>
    <t xml:space="preserve">Data correctness doubt; to data flow, never an issue</t>
  </si>
  <si>
    <t xml:space="preserve">none</t>
  </si>
  <si>
    <t xml:space="preserve">POS</t>
  </si>
  <si>
    <t xml:space="preserve">Works as designed or clearly understood</t>
  </si>
  <si>
    <t xml:space="preserve">MOD-LEAD</t>
  </si>
  <si>
    <t xml:space="preserve">MOD</t>
  </si>
  <si>
    <t xml:space="preserve">Leading probe by moderator</t>
  </si>
  <si>
    <t xml:space="preserve">MOD-EXPLAIN</t>
  </si>
  <si>
    <t xml:space="preserve">Moderator explained a feature mid-task</t>
  </si>
  <si>
    <t xml:space="preserve">MOD-HINT-OFFRULE</t>
  </si>
  <si>
    <t xml:space="preserve">Hint outside the 90 s rule</t>
  </si>
  <si>
    <t xml:space="preserve">NOTE</t>
  </si>
  <si>
    <t xml:space="preserve">Substantive statement fitting no family</t>
  </si>
  <si>
    <t xml:space="preserve">Rule</t>
  </si>
  <si>
    <t xml:space="preserve">Impact A in two or more participants</t>
  </si>
  <si>
    <t xml:space="preserve">Impact A in one participant, or impact B in three or more</t>
  </si>
  <si>
    <t xml:space="preserve">Impact B in one or two participants</t>
  </si>
  <si>
    <t xml:space="preserve">Impact C, any number of participants</t>
  </si>
  <si>
    <t xml:space="preserve">Not a problem; works as designed</t>
  </si>
  <si>
    <t xml:space="preserve">Impact A</t>
  </si>
  <si>
    <t xml:space="preserve">Wrong conclusion about a core number, own standing, or a prediction; or task failed</t>
  </si>
  <si>
    <t xml:space="preserve">Impact B</t>
  </si>
  <si>
    <t xml:space="preserve">Delay, hint needed, or recoverable error or confusion</t>
  </si>
  <si>
    <t xml:space="preserve">Impact C</t>
  </si>
  <si>
    <t xml:space="preserve">Irritation, cosmetic, or a wish</t>
  </si>
  <si>
    <t xml:space="preserve">Rule fixed 2026-09-23 before main-sample data collection. Do not change mid-study; note tensions in the write-up.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</si>
</sst>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2" t="s">
        <v>2</v>
      </c>
      <c r="B4" s="2"/>
    </row>
    <row r="5" customFormat="false" ht="15" hidden="false" customHeight="true" outlineLevel="0" collapsed="false">
      <c r="A5" s="3" t="s">
        <v>3</v>
      </c>
      <c r="B5" s="3" t="s">
        <v>4</v>
      </c>
    </row>
    <row r="6" customFormat="false" ht="15" hidden="false" customHeight="true" outlineLevel="0" collapsed="false">
      <c r="A6" s="3" t="s">
        <v>5</v>
      </c>
      <c r="B6" s="3" t="s">
        <v>6</v>
      </c>
    </row>
    <row r="7" customFormat="false" ht="15" hidden="false" customHeight="true" outlineLevel="0" collapsed="false">
      <c r="A7" s="3" t="s">
        <v>7</v>
      </c>
      <c r="B7" s="3" t="s">
        <v>8</v>
      </c>
    </row>
    <row r="8" customFormat="false" ht="15" hidden="false" customHeight="true" outlineLevel="0" collapsed="false">
      <c r="A8" s="3" t="s">
        <v>9</v>
      </c>
      <c r="B8" s="3" t="s">
        <v>10</v>
      </c>
    </row>
    <row r="9" customFormat="false" ht="15" hidden="false" customHeight="true" outlineLevel="0" collapsed="false">
      <c r="A9" s="3" t="s">
        <v>11</v>
      </c>
      <c r="B9" s="3" t="s">
        <v>12</v>
      </c>
    </row>
    <row r="10" customFormat="false" ht="15" hidden="false" customHeight="true" outlineLevel="0" collapsed="false">
      <c r="A10" s="3" t="s">
        <v>13</v>
      </c>
      <c r="B10" s="3" t="s">
        <v>14</v>
      </c>
    </row>
    <row r="11" customFormat="false" ht="15" hidden="false" customHeight="true" outlineLevel="0" collapsed="false">
      <c r="A11" s="3" t="s">
        <v>15</v>
      </c>
      <c r="B11" s="3" t="s">
        <v>16</v>
      </c>
    </row>
    <row r="12" customFormat="false" ht="15" hidden="false" customHeight="true" outlineLevel="0" collapsed="false">
      <c r="A12" s="3" t="s">
        <v>17</v>
      </c>
      <c r="B12" s="3" t="s">
        <v>18</v>
      </c>
    </row>
    <row r="13" customFormat="false" ht="15" hidden="false" customHeight="true" outlineLevel="0" collapsed="false">
      <c r="A13" s="3" t="s">
        <v>19</v>
      </c>
      <c r="B13" s="3" t="s">
        <v>20</v>
      </c>
    </row>
    <row r="14" customFormat="false" ht="15" hidden="false" customHeight="true" outlineLevel="0" collapsed="false">
      <c r="A14" s="3" t="s">
        <v>21</v>
      </c>
      <c r="B14" s="3" t="s">
        <v>22</v>
      </c>
    </row>
    <row r="15" customFormat="false" ht="15" hidden="false" customHeight="true" outlineLevel="0" collapsed="false">
      <c r="A15" s="3" t="s">
        <v>23</v>
      </c>
      <c r="B15" s="3" t="s">
        <v>24</v>
      </c>
    </row>
    <row r="16" customFormat="false" ht="15" hidden="false" customHeight="true" outlineLevel="0" collapsed="false">
      <c r="A16" s="3"/>
      <c r="B16" s="3"/>
    </row>
    <row r="17" customFormat="false" ht="15" hidden="false" customHeight="true" outlineLevel="0" collapsed="false">
      <c r="A17" s="3" t="s">
        <v>25</v>
      </c>
      <c r="B17" s="3"/>
    </row>
    <row r="18" customFormat="false" ht="15" hidden="false" customHeight="true" outlineLevel="0" collapsed="false">
      <c r="A18" s="3" t="s">
        <v>26</v>
      </c>
      <c r="B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22"/>
    <col collapsed="false" customWidth="true" hidden="false" outlineLevel="0" max="12" min="12" style="1" width="9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12"/>
    <col collapsed="false" customWidth="true" hidden="false" outlineLevel="0" max="16" min="16" style="1" width="10"/>
    <col collapsed="false" customWidth="true" hidden="false" outlineLevel="0" max="17" min="17" style="1" width="60"/>
    <col collapsed="false" customWidth="true" hidden="false" outlineLevel="0" max="18" min="18" style="1" width="40"/>
  </cols>
  <sheetData>
    <row r="1" customFormat="false" ht="39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</row>
    <row r="2" customFormat="false" ht="90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4" min="3" style="1" width="9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48"/>
    <col collapsed="false" customWidth="true" hidden="false" outlineLevel="0" max="9" min="9" style="1" width="9"/>
    <col collapsed="false" customWidth="true" hidden="false" outlineLevel="0" max="10" min="10" style="1" width="70"/>
  </cols>
  <sheetData>
    <row r="1" customFormat="false" ht="26.25" hidden="false" customHeight="true" outlineLevel="0" collapsed="false">
      <c r="A1" s="4" t="s">
        <v>27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</row>
    <row r="2" customFormat="false" ht="39" hidden="false" customHeight="true" outlineLevel="0" collapsed="false">
      <c r="A2" s="5"/>
      <c r="B2" s="5"/>
      <c r="C2" s="6"/>
      <c r="D2" s="6"/>
      <c r="E2" s="5" t="str">
        <f aca="false">IF(OR(C2="",D2=""),"",ROUND((D2-C2)*86400,0))</f>
        <v/>
      </c>
      <c r="F2" s="5"/>
      <c r="G2" s="5"/>
      <c r="H2" s="5"/>
      <c r="I2" s="5"/>
      <c r="J2" s="5"/>
    </row>
    <row r="3" customFormat="false" ht="39" hidden="false" customHeight="true" outlineLevel="0" collapsed="false"/>
    <row r="4" customFormat="false" ht="39" hidden="false" customHeight="true" outlineLevel="0" collapsed="false"/>
    <row r="5" customFormat="false" ht="26.25" hidden="false" customHeight="true" outlineLevel="0" collapsed="false"/>
    <row r="6" customFormat="false" ht="26.25" hidden="false" customHeight="true" outlineLevel="0" collapsed="false"/>
    <row r="7" customFormat="false" ht="51.75" hidden="false" customHeight="true" outlineLevel="0" collapsed="false"/>
    <row r="8" customFormat="false" ht="51.75" hidden="false" customHeight="true" outlineLevel="0" collapsed="false"/>
    <row r="9" customFormat="false" ht="39" hidden="false" customHeight="true" outlineLevel="0" collapsed="false"/>
  </sheetData>
  <dataValidations count="3">
    <dataValidation allowBlank="true" errorStyle="stop" operator="between" showDropDown="false" showErrorMessage="false" showInputMessage="false" sqref="G2:G200" type="list">
      <formula1>"Full,Partial,Fail,n/a (descriptive)"</formula1>
      <formula2>0</formula2>
    </dataValidation>
    <dataValidation allowBlank="true" errorStyle="stop" operator="between" showDropDown="false" showErrorMessage="false" showInputMessage="false" sqref="F2:F200" type="list">
      <formula1>"N,H1,H2"</formula1>
      <formula2>0</formula2>
    </dataValidation>
    <dataValidation allowBlank="true" errorStyle="stop" operator="between" showDropDown="false" showErrorMessage="false" showInputMessage="false" sqref="I2:I200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7" min="5" style="1" width="11"/>
    <col collapsed="false" customWidth="true" hidden="false" outlineLevel="0" max="8" min="8" style="1" width="90"/>
  </cols>
  <sheetData>
    <row r="1" customFormat="false" ht="39" hidden="false" customHeight="true" outlineLevel="0" collapsed="false">
      <c r="A1" s="4" t="s">
        <v>27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</row>
    <row r="2" customFormat="false" ht="90" hidden="false" customHeight="true" outlineLevel="0" collapsed="false">
      <c r="A2" s="5"/>
      <c r="B2" s="5"/>
      <c r="C2" s="5"/>
      <c r="D2" s="5"/>
      <c r="E2" s="5" t="str">
        <f aca="false">IF(COUNT(B2:D2)&lt;3,"",SUM(B2:D2))</f>
        <v/>
      </c>
      <c r="F2" s="5"/>
      <c r="G2" s="5"/>
      <c r="H2" s="5"/>
    </row>
  </sheetData>
  <dataValidations count="1">
    <dataValidation allowBlank="true" errorStyle="stop" operator="between" showDropDown="false" showErrorMessage="false" showInputMessage="false" sqref="B2:D200 F2:G200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40"/>
    <col collapsed="false" customWidth="true" hidden="false" outlineLevel="0" max="6" min="6" style="1" width="18"/>
    <col collapsed="false" customWidth="true" hidden="false" outlineLevel="0" max="7" min="7" style="1" width="40"/>
    <col collapsed="false" customWidth="true" hidden="false" outlineLevel="0" max="8" min="8" style="1" width="50"/>
  </cols>
  <sheetData>
    <row r="1" customFormat="false" ht="26.25" hidden="false" customHeight="true" outlineLevel="0" collapsed="false">
      <c r="A1" s="4" t="s">
        <v>27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</row>
    <row r="2" customFormat="false" ht="51.75" hidden="false" customHeight="true" outlineLevel="0" collapsed="false">
      <c r="A2" s="5"/>
      <c r="B2" s="5"/>
      <c r="C2" s="5"/>
      <c r="D2" s="5"/>
      <c r="E2" s="5"/>
      <c r="F2" s="5"/>
      <c r="G2" s="5"/>
      <c r="H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60"/>
    <col collapsed="false" customWidth="true" hidden="false" outlineLevel="0" max="6" min="6" style="1" width="50"/>
  </cols>
  <sheetData>
    <row r="1" customFormat="false" ht="26.25" hidden="false" customHeight="true" outlineLevel="0" collapsed="false">
      <c r="A1" s="4" t="s">
        <v>27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44</v>
      </c>
    </row>
    <row r="2" customFormat="false" ht="39" hidden="false" customHeight="true" outlineLevel="0" collapsed="false">
      <c r="A2" s="5"/>
      <c r="B2" s="5"/>
      <c r="C2" s="5"/>
      <c r="D2" s="5" t="str">
        <f aca="false">IF(OR(B2="",C2=""),"",IF(C2&gt;B2,"up",IF(C2&lt;B2,"down","same")))</f>
        <v/>
      </c>
      <c r="E2" s="5"/>
      <c r="F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11" min="2" style="1" width="8"/>
    <col collapsed="false" customWidth="true" hidden="false" outlineLevel="0" max="12" min="12" style="1" width="11"/>
    <col collapsed="false" customWidth="true" hidden="false" outlineLevel="0" max="13" min="13" style="1" width="40"/>
  </cols>
  <sheetData>
    <row r="1" customFormat="false" ht="15" hidden="false" customHeight="true" outlineLevel="0" collapsed="false">
      <c r="A1" s="4" t="s">
        <v>27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44</v>
      </c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 t="str">
        <f aca="false">IF(COUNT(B2:K2)&lt;10,"",2.5*((B2-1)+(5-C2)+(D2-1)+(5-E2)+(F2-1)+(5-G2)+(H2-1)+(5-I2)+(J2-1)+(5-K2)))</f>
        <v/>
      </c>
      <c r="M2" s="5"/>
    </row>
  </sheetData>
  <dataValidations count="1">
    <dataValidation allowBlank="true" errorStyle="stop" operator="between" showDropDown="false" showErrorMessage="false" showInputMessage="false" sqref="B2:K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"/>
    <col collapsed="false" customWidth="true" hidden="false" outlineLevel="0" max="9" min="9" style="1" width="9"/>
    <col collapsed="false" customWidth="true" hidden="false" outlineLevel="0" max="11" min="10" style="1" width="60"/>
    <col collapsed="false" customWidth="true" hidden="false" outlineLevel="0" max="12" min="12" style="1" width="9"/>
  </cols>
  <sheetData>
    <row r="1" customFormat="false" ht="51.75" hidden="false" customHeight="true" outlineLevel="0" collapsed="false">
      <c r="A1" s="4" t="s">
        <v>83</v>
      </c>
      <c r="B1" s="4" t="s">
        <v>27</v>
      </c>
      <c r="C1" s="4" t="s">
        <v>45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67</v>
      </c>
      <c r="L1" s="4" t="s">
        <v>91</v>
      </c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26.25" hidden="false" customHeight="true" outlineLevel="0" collapsed="false"/>
    <row r="4" customFormat="false" ht="26.25" hidden="false" customHeight="true" outlineLevel="0" collapsed="false"/>
    <row r="5" customFormat="false" ht="26.25" hidden="false" customHeight="true" outlineLevel="0" collapsed="false"/>
    <row r="6" customFormat="false" ht="26.25" hidden="false" customHeight="true" outlineLevel="0" collapsed="false"/>
    <row r="7" customFormat="false" ht="26.25" hidden="false" customHeight="true" outlineLevel="0" collapsed="false"/>
    <row r="8" customFormat="false" ht="26.25" hidden="false" customHeight="true" outlineLevel="0" collapsed="false"/>
    <row r="9" customFormat="false" ht="26.25" hidden="false" customHeight="true" outlineLevel="0" collapsed="false"/>
    <row r="10" customFormat="false" ht="26.25" hidden="false" customHeight="true" outlineLevel="0" collapsed="false"/>
    <row r="11" customFormat="false" ht="26.25" hidden="false" customHeight="true" outlineLevel="0" collapsed="false"/>
    <row r="12" customFormat="false" ht="26.25" hidden="false" customHeight="true" outlineLevel="0" collapsed="false"/>
    <row r="13" customFormat="false" ht="39" hidden="false" customHeight="true" outlineLevel="0" collapsed="false"/>
    <row r="14" customFormat="false" ht="26.25" hidden="false" customHeight="true" outlineLevel="0" collapsed="false"/>
    <row r="15" customFormat="false" ht="26.25" hidden="false" customHeight="true" outlineLevel="0" collapsed="false"/>
    <row r="16" customFormat="false" ht="26.25" hidden="false" customHeight="true" outlineLevel="0" collapsed="false"/>
    <row r="17" customFormat="false" ht="26.25" hidden="false" customHeight="true" outlineLevel="0" collapsed="false"/>
    <row r="18" customFormat="false" ht="26.25" hidden="false" customHeight="true" outlineLevel="0" collapsed="false"/>
    <row r="19" customFormat="false" ht="26.25" hidden="false" customHeight="true" outlineLevel="0" collapsed="false"/>
    <row r="20" customFormat="false" ht="26.25" hidden="false" customHeight="true" outlineLevel="0" collapsed="false"/>
    <row r="21" customFormat="false" ht="26.25" hidden="false" customHeight="true" outlineLevel="0" collapsed="false"/>
    <row r="22" customFormat="false" ht="26.25" hidden="false" customHeight="true" outlineLevel="0" collapsed="false"/>
    <row r="23" customFormat="false" ht="26.25" hidden="false" customHeight="true" outlineLevel="0" collapsed="false"/>
    <row r="24" customFormat="false" ht="15" hidden="false" customHeight="true" outlineLevel="0" collapsed="false"/>
    <row r="25" customFormat="false" ht="26.25" hidden="false" customHeight="true" outlineLevel="0" collapsed="false"/>
    <row r="26" customFormat="false" ht="26.25" hidden="false" customHeight="true" outlineLevel="0" collapsed="false"/>
    <row r="27" customFormat="false" ht="15" hidden="false" customHeight="true" outlineLevel="0" collapsed="false"/>
    <row r="28" customFormat="false" ht="26.25" hidden="false" customHeight="true" outlineLevel="0" collapsed="false"/>
    <row r="29" customFormat="false" ht="15" hidden="false" customHeight="true" outlineLevel="0" collapsed="false"/>
    <row r="30" customFormat="false" ht="26.25" hidden="false" customHeight="true" outlineLevel="0" collapsed="false"/>
    <row r="31" customFormat="false" ht="26.25" hidden="false" customHeight="true" outlineLevel="0" collapsed="false"/>
    <row r="32" customFormat="false" ht="26.25" hidden="false" customHeight="true" outlineLevel="0" collapsed="false"/>
    <row r="33" customFormat="false" ht="26.25" hidden="false" customHeight="true" outlineLevel="0" collapsed="false"/>
    <row r="34" customFormat="false" ht="39" hidden="false" customHeight="true" outlineLevel="0" collapsed="false"/>
    <row r="35" customFormat="false" ht="26.25" hidden="false" customHeight="true" outlineLevel="0" collapsed="false"/>
    <row r="36" customFormat="false" ht="26.25" hidden="false" customHeight="true" outlineLevel="0" collapsed="false"/>
    <row r="37" customFormat="false" ht="15" hidden="false" customHeight="true" outlineLevel="0" collapsed="false"/>
    <row r="38" customFormat="false" ht="26.25" hidden="false" customHeight="true" outlineLevel="0" collapsed="false"/>
    <row r="39" customFormat="false" ht="26.25" hidden="false" customHeight="true" outlineLevel="0" collapsed="false"/>
    <row r="40" customFormat="false" ht="15" hidden="false" customHeight="true" outlineLevel="0" collapsed="false"/>
    <row r="41" customFormat="false" ht="26.25" hidden="false" customHeight="true" outlineLevel="0" collapsed="false"/>
    <row r="42" customFormat="false" ht="39" hidden="false" customHeight="true" outlineLevel="0" collapsed="false"/>
    <row r="43" customFormat="false" ht="26.25" hidden="false" customHeight="true" outlineLevel="0" collapsed="false"/>
    <row r="44" customFormat="false" ht="26.25" hidden="false" customHeight="true" outlineLevel="0" collapsed="false"/>
    <row r="45" customFormat="false" ht="26.25" hidden="false" customHeight="true" outlineLevel="0" collapsed="false"/>
    <row r="46" customFormat="false" ht="15" hidden="false" customHeight="true" outlineLevel="0" collapsed="false"/>
  </sheetData>
  <dataValidations count="3">
    <dataValidation allowBlank="true" errorStyle="stop" operator="between" showDropDown="false" showErrorMessage="false" showInputMessage="false" sqref="F2:F1001" type="list">
      <formula1>Codebook!$A$2:$A$28</formula1>
      <formula2>0</formula2>
    </dataValidation>
    <dataValidation allowBlank="true" errorStyle="stop" operator="between" showDropDown="false" showErrorMessage="false" showInputMessage="false" sqref="I2:I1001" type="list">
      <formula1>"Said,Did"</formula1>
      <formula2>0</formula2>
    </dataValidation>
    <dataValidation allowBlank="true" errorStyle="stop" operator="between" showDropDown="false" showErrorMessage="false" showInputMessage="false" sqref="G2:G1001" type="list">
      <formula1>"DATA-VOLUME,PERSONAL-KNOWLEDGE,SAMPLE-SIZE,INACTIVITY,CALIBRATION,OTHER"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5"/>
    <col collapsed="false" customWidth="true" hidden="false" outlineLevel="0" max="5" min="5" style="1" width="60"/>
    <col collapsed="false" customWidth="true" hidden="false" outlineLevel="0" max="6" min="6" style="1" width="18"/>
    <col collapsed="false" customWidth="true" hidden="false" outlineLevel="0" max="7" min="7" style="1" width="5"/>
    <col collapsed="false" customWidth="true" hidden="false" outlineLevel="0" max="9" min="8" style="1" width="10"/>
    <col collapsed="false" customWidth="true" hidden="false" outlineLevel="0" max="10" min="10" style="1" width="20"/>
    <col collapsed="false" customWidth="true" hidden="false" outlineLevel="0" max="11" min="11" style="1" width="50"/>
  </cols>
  <sheetData>
    <row r="1" customFormat="false" ht="39" hidden="false" customHeight="true" outlineLevel="0" collapsed="false">
      <c r="A1" s="4" t="s">
        <v>91</v>
      </c>
      <c r="B1" s="4" t="s">
        <v>92</v>
      </c>
      <c r="C1" s="4" t="s">
        <v>93</v>
      </c>
      <c r="D1" s="4" t="s">
        <v>88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</row>
    <row r="2" customFormat="false" ht="26.25" hidden="false" customHeight="true" outlineLevel="0" collapsed="false">
      <c r="A2" s="5"/>
      <c r="B2" s="5"/>
      <c r="C2" s="5"/>
      <c r="D2" s="5"/>
      <c r="E2" s="5"/>
      <c r="F2" s="5"/>
      <c r="G2" s="5" t="n">
        <f aca="false">IF(F2="",0,LEN(F2)-LEN(SUBSTITUTE(F2,",",""))+1)</f>
        <v>0</v>
      </c>
      <c r="H2" s="5"/>
      <c r="I2" s="5" t="n">
        <f aca="false">IF(H2="A",IF(G2&gt;=2,4,3),IF(H2="B",IF(G2&gt;=3,3,2),IF(H2="C",1,0)))</f>
        <v>0</v>
      </c>
      <c r="J2" s="5"/>
      <c r="K2" s="5"/>
    </row>
    <row r="3" customFormat="false" ht="15" hidden="false" customHeight="true" outlineLevel="0" collapsed="false"/>
    <row r="4" customFormat="false" ht="15" hidden="false" customHeight="true" outlineLevel="0" collapsed="false"/>
    <row r="5" customFormat="false" ht="26.25" hidden="false" customHeight="true" outlineLevel="0" collapsed="false"/>
    <row r="6" customFormat="false" ht="39" hidden="false" customHeight="true" outlineLevel="0" collapsed="false"/>
    <row r="7" customFormat="false" ht="26.25" hidden="false" customHeight="true" outlineLevel="0" collapsed="false"/>
    <row r="8" customFormat="false" ht="26.25" hidden="false" customHeight="true" outlineLevel="0" collapsed="false"/>
    <row r="9" customFormat="false" ht="26.25" hidden="false" customHeight="true" outlineLevel="0" collapsed="false"/>
    <row r="10" customFormat="false" ht="26.25" hidden="false" customHeight="true" outlineLevel="0" collapsed="false"/>
    <row r="11" customFormat="false" ht="26.25" hidden="false" customHeight="true" outlineLevel="0" collapsed="false"/>
    <row r="12" customFormat="false" ht="26.25" hidden="false" customHeight="true" outlineLevel="0" collapsed="false"/>
    <row r="13" customFormat="false" ht="26.25" hidden="false" customHeight="true" outlineLevel="0" collapsed="false"/>
  </sheetData>
  <dataValidations count="1">
    <dataValidation allowBlank="true" errorStyle="stop" operator="between" showDropDown="false" showErrorMessage="false" showInputMessage="false" sqref="H2:H200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4" t="s">
        <v>101</v>
      </c>
      <c r="B1" s="4" t="s">
        <v>102</v>
      </c>
      <c r="C1" s="4" t="s">
        <v>103</v>
      </c>
    </row>
    <row r="2" customFormat="false" ht="26.25" hidden="false" customHeight="true" outlineLevel="0" collapsed="false">
      <c r="A2" s="5"/>
      <c r="B2" s="5"/>
      <c r="C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60"/>
    <col collapsed="false" customWidth="true" hidden="false" outlineLevel="0" max="4" min="4" style="1" width="6"/>
    <col collapsed="false" customWidth="true" hidden="false" outlineLevel="0" max="5" min="5" style="1" width="14"/>
  </cols>
  <sheetData>
    <row r="1" customFormat="false" ht="39" hidden="false" customHeight="true" outlineLevel="0" collapsed="false">
      <c r="A1" s="4" t="s">
        <v>86</v>
      </c>
      <c r="B1" s="4" t="s">
        <v>104</v>
      </c>
      <c r="C1" s="4" t="s">
        <v>105</v>
      </c>
      <c r="D1" s="4" t="s">
        <v>88</v>
      </c>
      <c r="E1" s="4" t="s">
        <v>106</v>
      </c>
    </row>
    <row r="2" customFormat="false" ht="15" hidden="false" customHeight="true" outlineLevel="0" collapsed="false">
      <c r="A2" s="5" t="s">
        <v>107</v>
      </c>
      <c r="B2" s="5" t="s">
        <v>108</v>
      </c>
      <c r="C2" s="5" t="s">
        <v>109</v>
      </c>
      <c r="D2" s="5" t="s">
        <v>110</v>
      </c>
      <c r="E2" s="5" t="n">
        <f aca="false">COUNTIF(Observations!$F:$F,A2)</f>
        <v>0</v>
      </c>
    </row>
    <row r="3" customFormat="false" ht="15" hidden="false" customHeight="true" outlineLevel="0" collapsed="false">
      <c r="A3" s="5" t="s">
        <v>111</v>
      </c>
      <c r="B3" s="5" t="s">
        <v>108</v>
      </c>
      <c r="C3" s="5" t="s">
        <v>112</v>
      </c>
      <c r="D3" s="5" t="s">
        <v>110</v>
      </c>
      <c r="E3" s="5" t="n">
        <f aca="false">COUNTIF(Observations!$F:$F,A3)</f>
        <v>0</v>
      </c>
    </row>
    <row r="4" customFormat="false" ht="15" hidden="false" customHeight="true" outlineLevel="0" collapsed="false">
      <c r="A4" s="5" t="s">
        <v>113</v>
      </c>
      <c r="B4" s="5" t="s">
        <v>108</v>
      </c>
      <c r="C4" s="5" t="s">
        <v>114</v>
      </c>
      <c r="D4" s="5" t="s">
        <v>115</v>
      </c>
      <c r="E4" s="5" t="n">
        <f aca="false">COUNTIF(Observations!$F:$F,A4)</f>
        <v>0</v>
      </c>
    </row>
    <row r="5" customFormat="false" ht="15" hidden="false" customHeight="true" outlineLevel="0" collapsed="false">
      <c r="A5" s="5" t="s">
        <v>116</v>
      </c>
      <c r="B5" s="5" t="s">
        <v>108</v>
      </c>
      <c r="C5" s="5" t="s">
        <v>117</v>
      </c>
      <c r="D5" s="5" t="s">
        <v>118</v>
      </c>
      <c r="E5" s="5" t="n">
        <f aca="false">COUNTIF(Observations!$F:$F,A5)</f>
        <v>0</v>
      </c>
    </row>
    <row r="6" customFormat="false" ht="15" hidden="false" customHeight="true" outlineLevel="0" collapsed="false">
      <c r="A6" s="5" t="s">
        <v>119</v>
      </c>
      <c r="B6" s="5" t="s">
        <v>108</v>
      </c>
      <c r="C6" s="5" t="s">
        <v>120</v>
      </c>
      <c r="D6" s="5" t="s">
        <v>121</v>
      </c>
      <c r="E6" s="5" t="n">
        <f aca="false">COUNTIF(Observations!$F:$F,A6)</f>
        <v>0</v>
      </c>
    </row>
    <row r="7" customFormat="false" ht="15" hidden="false" customHeight="true" outlineLevel="0" collapsed="false">
      <c r="A7" s="5" t="s">
        <v>122</v>
      </c>
      <c r="B7" s="5" t="s">
        <v>108</v>
      </c>
      <c r="C7" s="5" t="s">
        <v>123</v>
      </c>
      <c r="D7" s="5" t="s">
        <v>121</v>
      </c>
      <c r="E7" s="5" t="n">
        <f aca="false">COUNTIF(Observations!$F:$F,A7)</f>
        <v>0</v>
      </c>
    </row>
    <row r="8" customFormat="false" ht="15" hidden="false" customHeight="true" outlineLevel="0" collapsed="false">
      <c r="A8" s="5" t="s">
        <v>124</v>
      </c>
      <c r="B8" s="5" t="s">
        <v>108</v>
      </c>
      <c r="C8" s="5" t="s">
        <v>125</v>
      </c>
      <c r="D8" s="5" t="s">
        <v>126</v>
      </c>
      <c r="E8" s="5" t="n">
        <f aca="false">COUNTIF(Observations!$F:$F,A8)</f>
        <v>0</v>
      </c>
    </row>
    <row r="9" customFormat="false" ht="15" hidden="false" customHeight="true" outlineLevel="0" collapsed="false">
      <c r="A9" s="5" t="s">
        <v>127</v>
      </c>
      <c r="B9" s="5" t="s">
        <v>108</v>
      </c>
      <c r="C9" s="5" t="s">
        <v>128</v>
      </c>
      <c r="D9" s="5" t="s">
        <v>129</v>
      </c>
      <c r="E9" s="5" t="n">
        <f aca="false">COUNTIF(Observations!$F:$F,A9)</f>
        <v>0</v>
      </c>
    </row>
    <row r="10" customFormat="false" ht="15" hidden="false" customHeight="true" outlineLevel="0" collapsed="false">
      <c r="A10" s="5" t="s">
        <v>130</v>
      </c>
      <c r="B10" s="5" t="s">
        <v>108</v>
      </c>
      <c r="C10" s="5" t="s">
        <v>131</v>
      </c>
      <c r="D10" s="5" t="s">
        <v>132</v>
      </c>
      <c r="E10" s="5" t="n">
        <f aca="false">COUNTIF(Observations!$F:$F,A10)</f>
        <v>0</v>
      </c>
    </row>
    <row r="11" customFormat="false" ht="15" hidden="false" customHeight="true" outlineLevel="0" collapsed="false">
      <c r="A11" s="5" t="s">
        <v>133</v>
      </c>
      <c r="B11" s="5" t="s">
        <v>134</v>
      </c>
      <c r="C11" s="5" t="s">
        <v>135</v>
      </c>
      <c r="D11" s="5" t="s">
        <v>110</v>
      </c>
      <c r="E11" s="5" t="n">
        <f aca="false">COUNTIF(Observations!$F:$F,A11)</f>
        <v>0</v>
      </c>
    </row>
    <row r="12" customFormat="false" ht="15" hidden="false" customHeight="true" outlineLevel="0" collapsed="false">
      <c r="A12" s="5" t="s">
        <v>136</v>
      </c>
      <c r="B12" s="5" t="s">
        <v>134</v>
      </c>
      <c r="C12" s="5" t="s">
        <v>137</v>
      </c>
      <c r="D12" s="5" t="s">
        <v>110</v>
      </c>
      <c r="E12" s="5" t="n">
        <f aca="false">COUNTIF(Observations!$F:$F,A12)</f>
        <v>0</v>
      </c>
    </row>
    <row r="13" customFormat="false" ht="15" hidden="false" customHeight="true" outlineLevel="0" collapsed="false">
      <c r="A13" s="5" t="s">
        <v>138</v>
      </c>
      <c r="B13" s="5" t="s">
        <v>134</v>
      </c>
      <c r="C13" s="5" t="s">
        <v>139</v>
      </c>
      <c r="D13" s="5" t="s">
        <v>115</v>
      </c>
      <c r="E13" s="5" t="n">
        <f aca="false">COUNTIF(Observations!$F:$F,A13)</f>
        <v>0</v>
      </c>
    </row>
    <row r="14" customFormat="false" ht="15" hidden="false" customHeight="true" outlineLevel="0" collapsed="false">
      <c r="A14" s="5" t="s">
        <v>140</v>
      </c>
      <c r="B14" s="5" t="s">
        <v>141</v>
      </c>
      <c r="C14" s="5" t="s">
        <v>142</v>
      </c>
      <c r="D14" s="5" t="s">
        <v>132</v>
      </c>
      <c r="E14" s="5" t="n">
        <f aca="false">COUNTIF(Observations!$F:$F,A14)</f>
        <v>0</v>
      </c>
    </row>
    <row r="15" customFormat="false" ht="15" hidden="false" customHeight="true" outlineLevel="0" collapsed="false">
      <c r="A15" s="5" t="s">
        <v>143</v>
      </c>
      <c r="B15" s="5" t="s">
        <v>141</v>
      </c>
      <c r="C15" s="5" t="s">
        <v>144</v>
      </c>
      <c r="D15" s="5" t="s">
        <v>132</v>
      </c>
      <c r="E15" s="5" t="n">
        <f aca="false">COUNTIF(Observations!$F:$F,A15)</f>
        <v>0</v>
      </c>
    </row>
    <row r="16" customFormat="false" ht="15" hidden="false" customHeight="true" outlineLevel="0" collapsed="false">
      <c r="A16" s="5" t="s">
        <v>145</v>
      </c>
      <c r="B16" s="5" t="s">
        <v>141</v>
      </c>
      <c r="C16" s="5" t="s">
        <v>146</v>
      </c>
      <c r="D16" s="5" t="s">
        <v>132</v>
      </c>
      <c r="E16" s="5" t="n">
        <f aca="false">COUNTIF(Observations!$F:$F,A16)</f>
        <v>0</v>
      </c>
    </row>
    <row r="17" customFormat="false" ht="15" hidden="false" customHeight="true" outlineLevel="0" collapsed="false">
      <c r="A17" s="5" t="s">
        <v>147</v>
      </c>
      <c r="B17" s="5" t="s">
        <v>147</v>
      </c>
      <c r="C17" s="5" t="s">
        <v>148</v>
      </c>
      <c r="D17" s="5" t="s">
        <v>132</v>
      </c>
      <c r="E17" s="5" t="n">
        <f aca="false">COUNTIF(Observations!$F:$F,A17)</f>
        <v>0</v>
      </c>
    </row>
    <row r="18" customFormat="false" ht="15" hidden="false" customHeight="true" outlineLevel="0" collapsed="false">
      <c r="A18" s="5" t="s">
        <v>149</v>
      </c>
      <c r="B18" s="5" t="s">
        <v>149</v>
      </c>
      <c r="C18" s="5" t="s">
        <v>150</v>
      </c>
      <c r="D18" s="5" t="s">
        <v>132</v>
      </c>
      <c r="E18" s="5" t="n">
        <f aca="false">COUNTIF(Observations!$F:$F,A18)</f>
        <v>0</v>
      </c>
    </row>
    <row r="19" customFormat="false" ht="15" hidden="false" customHeight="true" outlineLevel="0" collapsed="false">
      <c r="A19" s="5" t="s">
        <v>151</v>
      </c>
      <c r="B19" s="5" t="s">
        <v>151</v>
      </c>
      <c r="C19" s="5" t="s">
        <v>152</v>
      </c>
      <c r="D19" s="5" t="s">
        <v>132</v>
      </c>
      <c r="E19" s="5" t="n">
        <f aca="false">COUNTIF(Observations!$F:$F,A19)</f>
        <v>0</v>
      </c>
    </row>
    <row r="20" customFormat="false" ht="15" hidden="false" customHeight="true" outlineLevel="0" collapsed="false">
      <c r="A20" s="5" t="s">
        <v>153</v>
      </c>
      <c r="B20" s="5" t="s">
        <v>154</v>
      </c>
      <c r="C20" s="5" t="s">
        <v>155</v>
      </c>
      <c r="D20" s="5" t="s">
        <v>126</v>
      </c>
      <c r="E20" s="5" t="n">
        <f aca="false">COUNTIF(Observations!$F:$F,A20)</f>
        <v>0</v>
      </c>
    </row>
    <row r="21" customFormat="false" ht="15" hidden="false" customHeight="true" outlineLevel="0" collapsed="false">
      <c r="A21" s="5" t="s">
        <v>156</v>
      </c>
      <c r="B21" s="5" t="s">
        <v>154</v>
      </c>
      <c r="C21" s="5" t="s">
        <v>157</v>
      </c>
      <c r="D21" s="5" t="s">
        <v>126</v>
      </c>
      <c r="E21" s="5" t="n">
        <f aca="false">COUNTIF(Observations!$F:$F,A21)</f>
        <v>0</v>
      </c>
    </row>
    <row r="22" customFormat="false" ht="15" hidden="false" customHeight="true" outlineLevel="0" collapsed="false">
      <c r="A22" s="5" t="s">
        <v>158</v>
      </c>
      <c r="B22" s="5" t="s">
        <v>158</v>
      </c>
      <c r="C22" s="5" t="s">
        <v>159</v>
      </c>
      <c r="D22" s="5" t="s">
        <v>132</v>
      </c>
      <c r="E22" s="5" t="n">
        <f aca="false">COUNTIF(Observations!$F:$F,A22)</f>
        <v>0</v>
      </c>
    </row>
    <row r="23" customFormat="false" ht="15" hidden="false" customHeight="true" outlineLevel="0" collapsed="false">
      <c r="A23" s="5" t="s">
        <v>160</v>
      </c>
      <c r="B23" s="5" t="s">
        <v>160</v>
      </c>
      <c r="C23" s="5" t="s">
        <v>161</v>
      </c>
      <c r="D23" s="5" t="s">
        <v>162</v>
      </c>
      <c r="E23" s="5" t="n">
        <f aca="false">COUNTIF(Observations!$F:$F,A23)</f>
        <v>0</v>
      </c>
    </row>
    <row r="24" customFormat="false" ht="15" hidden="false" customHeight="true" outlineLevel="0" collapsed="false">
      <c r="A24" s="5" t="s">
        <v>163</v>
      </c>
      <c r="B24" s="5" t="s">
        <v>163</v>
      </c>
      <c r="C24" s="5" t="s">
        <v>164</v>
      </c>
      <c r="D24" s="5" t="s">
        <v>132</v>
      </c>
      <c r="E24" s="5" t="n">
        <f aca="false">COUNTIF(Observations!$F:$F,A24)</f>
        <v>0</v>
      </c>
    </row>
    <row r="25" customFormat="false" ht="15" hidden="false" customHeight="true" outlineLevel="0" collapsed="false">
      <c r="A25" s="5" t="s">
        <v>165</v>
      </c>
      <c r="B25" s="5" t="s">
        <v>166</v>
      </c>
      <c r="C25" s="5" t="s">
        <v>167</v>
      </c>
      <c r="D25" s="5" t="s">
        <v>162</v>
      </c>
      <c r="E25" s="5" t="n">
        <f aca="false">COUNTIF(Observations!$F:$F,A25)</f>
        <v>0</v>
      </c>
    </row>
    <row r="26" customFormat="false" ht="15" hidden="false" customHeight="true" outlineLevel="0" collapsed="false">
      <c r="A26" s="5" t="s">
        <v>168</v>
      </c>
      <c r="B26" s="5" t="s">
        <v>166</v>
      </c>
      <c r="C26" s="5" t="s">
        <v>169</v>
      </c>
      <c r="D26" s="5" t="s">
        <v>162</v>
      </c>
      <c r="E26" s="5" t="n">
        <f aca="false">COUNTIF(Observations!$F:$F,A26)</f>
        <v>0</v>
      </c>
    </row>
    <row r="27" customFormat="false" ht="26.25" hidden="false" customHeight="true" outlineLevel="0" collapsed="false">
      <c r="A27" s="5" t="s">
        <v>170</v>
      </c>
      <c r="B27" s="5" t="s">
        <v>166</v>
      </c>
      <c r="C27" s="5" t="s">
        <v>171</v>
      </c>
      <c r="D27" s="5" t="s">
        <v>162</v>
      </c>
      <c r="E27" s="5" t="n">
        <f aca="false">COUNTIF(Observations!$F:$F,A27)</f>
        <v>0</v>
      </c>
    </row>
    <row r="28" customFormat="false" ht="15" hidden="false" customHeight="true" outlineLevel="0" collapsed="false">
      <c r="A28" s="5" t="s">
        <v>172</v>
      </c>
      <c r="B28" s="5" t="s">
        <v>172</v>
      </c>
      <c r="C28" s="5" t="s">
        <v>173</v>
      </c>
      <c r="D28" s="5" t="s">
        <v>132</v>
      </c>
      <c r="E28" s="5" t="n">
        <f aca="false">COUNTIF(Observations!$F:$F,A28)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0"/>
  </cols>
  <sheetData>
    <row r="1" customFormat="false" ht="15" hidden="false" customHeight="true" outlineLevel="0" collapsed="false">
      <c r="A1" s="4" t="s">
        <v>23</v>
      </c>
      <c r="B1" s="4" t="s">
        <v>174</v>
      </c>
    </row>
    <row r="2" customFormat="false" ht="15" hidden="false" customHeight="true" outlineLevel="0" collapsed="false">
      <c r="A2" s="5" t="n">
        <v>4</v>
      </c>
      <c r="B2" s="5" t="s">
        <v>175</v>
      </c>
    </row>
    <row r="3" customFormat="false" ht="15" hidden="false" customHeight="true" outlineLevel="0" collapsed="false">
      <c r="A3" s="5" t="n">
        <v>3</v>
      </c>
      <c r="B3" s="5" t="s">
        <v>176</v>
      </c>
    </row>
    <row r="4" customFormat="false" ht="15" hidden="false" customHeight="true" outlineLevel="0" collapsed="false">
      <c r="A4" s="5" t="n">
        <v>2</v>
      </c>
      <c r="B4" s="5" t="s">
        <v>177</v>
      </c>
    </row>
    <row r="5" customFormat="false" ht="15" hidden="false" customHeight="true" outlineLevel="0" collapsed="false">
      <c r="A5" s="5" t="n">
        <v>1</v>
      </c>
      <c r="B5" s="5" t="s">
        <v>178</v>
      </c>
    </row>
    <row r="6" customFormat="false" ht="15" hidden="false" customHeight="true" outlineLevel="0" collapsed="false">
      <c r="A6" s="5" t="n">
        <v>0</v>
      </c>
      <c r="B6" s="5" t="s">
        <v>179</v>
      </c>
    </row>
    <row r="7" customFormat="false" ht="15" hidden="false" customHeight="true" outlineLevel="0" collapsed="false">
      <c r="A7" s="5"/>
      <c r="B7" s="5"/>
    </row>
    <row r="8" customFormat="false" ht="15" hidden="false" customHeight="true" outlineLevel="0" collapsed="false">
      <c r="A8" s="5" t="s">
        <v>180</v>
      </c>
      <c r="B8" s="5" t="s">
        <v>181</v>
      </c>
    </row>
    <row r="9" customFormat="false" ht="15" hidden="false" customHeight="true" outlineLevel="0" collapsed="false">
      <c r="A9" s="5" t="s">
        <v>182</v>
      </c>
      <c r="B9" s="5" t="s">
        <v>183</v>
      </c>
    </row>
    <row r="10" customFormat="false" ht="15" hidden="false" customHeight="true" outlineLevel="0" collapsed="false">
      <c r="A10" s="5" t="s">
        <v>184</v>
      </c>
      <c r="B10" s="5" t="s">
        <v>185</v>
      </c>
    </row>
    <row r="11" customFormat="false" ht="15" hidden="false" customHeight="true" outlineLevel="0" collapsed="false">
      <c r="A11" s="5"/>
      <c r="B11" s="5"/>
    </row>
    <row r="12" customFormat="false" ht="191.25" hidden="false" customHeight="true" outlineLevel="0" collapsed="false">
      <c r="A12" s="5" t="s">
        <v>186</v>
      </c>
      <c r="B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2026-09-23T12:42:42Z</dcterms:created>
  <dc:creator>openpyxl</dc:creator>
  <dc:description/>
  <dc:language>en-US</dc:language>
  <cp:lastModifiedBy/>
  <dcterms:modified xsi:type="dcterms:W3CDTF">2026-09-23T13:22:02Z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